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13_ncr:1_{327CD7EC-9393-4E7C-BCDE-B605370C1BCB}" xr6:coauthVersionLast="47" xr6:coauthVersionMax="47" xr10:uidLastSave="{00000000-0000-0000-0000-000000000000}"/>
  <bookViews>
    <workbookView xWindow="-16320" yWindow="-6030" windowWidth="16440" windowHeight="283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7" i="1" l="1"/>
  <c r="H50" i="1"/>
  <c r="H37" i="1"/>
  <c r="H38" i="1"/>
  <c r="H39" i="1"/>
  <c r="H40" i="1"/>
  <c r="H41" i="1"/>
  <c r="H42" i="1"/>
  <c r="H43" i="1"/>
  <c r="H44" i="1"/>
  <c r="H48" i="1"/>
  <c r="H49" i="1"/>
  <c r="H8" i="1"/>
  <c r="H4" i="1" l="1"/>
  <c r="H5" i="1"/>
  <c r="H6" i="1"/>
  <c r="H7"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45" i="1"/>
  <c r="H46" i="1"/>
  <c r="H51" i="1"/>
  <c r="H3" i="1"/>
  <c r="H52" i="1" l="1"/>
</calcChain>
</file>

<file path=xl/sharedStrings.xml><?xml version="1.0" encoding="utf-8"?>
<sst xmlns="http://schemas.openxmlformats.org/spreadsheetml/2006/main" count="222" uniqueCount="169">
  <si>
    <t>品名</t>
    <rPh sb="0" eb="2">
      <t>ヒンメイ</t>
    </rPh>
    <phoneticPr fontId="1"/>
  </si>
  <si>
    <t>メーカー</t>
    <phoneticPr fontId="1"/>
  </si>
  <si>
    <t>備考</t>
    <rPh sb="0" eb="2">
      <t>ビコウ</t>
    </rPh>
    <phoneticPr fontId="1"/>
  </si>
  <si>
    <t>個数</t>
    <rPh sb="0" eb="2">
      <t>コスウ</t>
    </rPh>
    <phoneticPr fontId="1"/>
  </si>
  <si>
    <t>単価</t>
    <rPh sb="0" eb="2">
      <t>タンカ</t>
    </rPh>
    <phoneticPr fontId="1"/>
  </si>
  <si>
    <t>合計</t>
    <rPh sb="0" eb="2">
      <t>ゴウケイ</t>
    </rPh>
    <phoneticPr fontId="1"/>
  </si>
  <si>
    <t>URL</t>
    <phoneticPr fontId="1"/>
  </si>
  <si>
    <t>型番</t>
  </si>
  <si>
    <t>アルミフレーム　５シリーズ　Nタイプ　正方形　２０×２０ｍｍ　１列溝　４面溝</t>
  </si>
  <si>
    <t>https://jp.misumi-ec.com/vona2/detail/110311092599/?CategorySpec=00000173392%3A%3Ab%0900000173432%3A%3Amig00000002484543</t>
  </si>
  <si>
    <t>アルミフレーム　５シリーズ　Nタイプ　長方形　２０×４０ｍｍ　２列溝　４面溝</t>
  </si>
  <si>
    <t>https://jp.misumi-ec.com/vona2/detail/110311092869/?KWSearch=%E3%83%9F%E3%82%B9%E3%83%9F+%E3%82%A2%E3%83%AB%E3%83%9F%E3%83%95%E3%83%AC%E3%83%BC%E3%83%A0&amp;searchFlow=results2products&amp;Brand=MSM1&amp;CategorySpec=00000173346%3A%3Amig00000002497432&amp;searchCategorySpec=11</t>
  </si>
  <si>
    <t>５シリーズ（溝幅６ｍｍ）　－１列溝用－　突起付反転ブラケット</t>
  </si>
  <si>
    <t>HBLFSNF5</t>
  </si>
  <si>
    <t>https://jp.misumi-ec.com/vona2/detail/110300437260/?rid=dj_sub33_detail_1_110300437260_e18_110311092599</t>
    <phoneticPr fontId="1"/>
  </si>
  <si>
    <t>https://jp.misumi-ec.com/vona2/detail/110302608410/?rid=dj_sub33_detail_3_110302608410_e18_110311092599</t>
    <phoneticPr fontId="1"/>
  </si>
  <si>
    <t>５シリーズ（溝幅６ｍｍ）用　アルミフレーム用後入れバネナット【1～100個入り】</t>
    <phoneticPr fontId="1"/>
  </si>
  <si>
    <t>ミスミ</t>
    <phoneticPr fontId="1"/>
  </si>
  <si>
    <t>SS400フリープレート(WEB掲載品)</t>
  </si>
  <si>
    <t>モノタロウ</t>
    <phoneticPr fontId="1"/>
  </si>
  <si>
    <t>錆止めスプレー</t>
  </si>
  <si>
    <t>カッターマット 再生PVC製 5層タイプ グレー色</t>
  </si>
  <si>
    <t>AFLH-4040-33</t>
  </si>
  <si>
    <t>https://www.monotaro.com/g/02364574/?t.q=%E3%83%96%E3%83%A9%E3%82%B1%E3%83%83%E3%83%88%E3%83%95%E3%83%AC%E3%83%BC%E3%83%A0#op_365=33&amp;from=search</t>
    <phoneticPr fontId="1"/>
  </si>
  <si>
    <t>アルミフレーム　５シリーズ　Nタイプ　長方形　２０×６０ｍｍ　２０×８０ｍｍ　３列溝以上　４面溝</t>
  </si>
  <si>
    <t>https://jp.misumi-ec.com/vona2/detail/110311093859/?rid=dj_sub42_detail_1_110311093859_e01_110302684870</t>
  </si>
  <si>
    <t>【エコノミーシリーズ】 RoHS対応 タイミングプーリ S3M 固定寸法タイプ</t>
  </si>
  <si>
    <t>回転軸　廻り止めタイプ</t>
  </si>
  <si>
    <t>【エコノミーシリーズ】 RoHS対応 重荷重用リニアガイド</t>
  </si>
  <si>
    <t>【エコノミーシリーズ】 RoHS対応 アイドラー S3Mタイプ</t>
  </si>
  <si>
    <t>https://jp.misumi-ec.com/vona2/detail/110310313739/</t>
    <phoneticPr fontId="1"/>
  </si>
  <si>
    <t>C-HTPA30S3M100-A-P15</t>
    <phoneticPr fontId="1"/>
  </si>
  <si>
    <t>C-AHTF30S3M100</t>
    <phoneticPr fontId="1"/>
  </si>
  <si>
    <t>https://jp.misumi-ec.com/vona2/detail/110310405719/?PNSearch=C-AHTF30S3M100&amp;HissuCode=C-AHTF30S3M100&amp;Keyword=C-AHTF30S3M100&amp;list=SuggestPreview&amp;searchFlow=suggest2products</t>
    <phoneticPr fontId="1"/>
  </si>
  <si>
    <t>https://jp.misumi-ec.com/vona2/detail/221000014921/?CategorySpec=SP100253990%3A%3Aa%09SP100254131%3A%3Ap#detail-review-381b17e4-0b9b-4e68-b660-b16ed2681fff</t>
  </si>
  <si>
    <t>標準ベルト S3M</t>
  </si>
  <si>
    <t>C-SX2R24-460</t>
    <phoneticPr fontId="1"/>
  </si>
  <si>
    <t>C-SX2R24-880</t>
    <phoneticPr fontId="1"/>
  </si>
  <si>
    <t>C-B6002ZZ</t>
  </si>
  <si>
    <t>【エコノミーシリーズ】深溝玉軸受　両シールド形　軽荷重タイプ</t>
  </si>
  <si>
    <t>https://jp.misumi-ec.com/vona2/detail/110300087170/?list=PageCategory&amp;clkid=clkid_basic_shape_template</t>
    <phoneticPr fontId="1"/>
  </si>
  <si>
    <t>https://jp.misumi-ec.com/vona2/detail/110302734840/?CategorySpec=00000206749%3a%3a00000206749.a%2100009%0900000206748%3a%3amig00000002466981%0900000206732%3a%3amig00000002466980%0900000206744%3a%3amig00000002466982&amp;bid=bid_STC_LP2401_oth4_sc3141_20209</t>
    <phoneticPr fontId="1"/>
  </si>
  <si>
    <t>https://jp.misumi-ec.com/vona2/detail/110302734840/?CategorySpec=00000206749%3a%3a00000206749.a%2100009%0900000206748%3a%3amig00000002466978%0900000206732%3a%3amig00000002466979%0900000206744%3a%3amig00000002466974&amp;bid=bid_STC_LP2401_oth2_sc3141_20209</t>
    <phoneticPr fontId="1"/>
  </si>
  <si>
    <t>https://jp.misumi-ec.com/vona2/detail/221000014921/?CategorySpec=SP100253990%3A%3Aa%09SP100254131%3A%3Ap#detail-review-381b17e4-0b9b-4e68-b660-b16ed2681fff</t>
    <phoneticPr fontId="1"/>
  </si>
  <si>
    <t>https://jp.misumi-ec.com/vona2/detail/110302590550/?KWSearch=%E3%83%99%E3%82%A2%E3%83%AA%E3%83%B3%E3%82%B0&amp;searchFlow=results2products&amp;Brand=MSM1&amp;CategorySpec=00000228694%3A%3Amig00000002486227%0900000228895%3A%3Ab&amp;searchCategorySpec=01</t>
    <phoneticPr fontId="1"/>
  </si>
  <si>
    <t>ネオジムキャップマグネット</t>
  </si>
  <si>
    <t>マグテック</t>
  </si>
  <si>
    <t>マイクロフォトセンサ 溝形小型タイプ ケーブル式</t>
  </si>
  <si>
    <t>C-MSX672N-2M</t>
    <phoneticPr fontId="1"/>
  </si>
  <si>
    <t>https://jp.misumi-ec.com/vona2/detail/110310550529/?rid=dj_sub192_detail_1_110310550529_e01_110302759610</t>
  </si>
  <si>
    <t>https://jp.misumi-ec.com/vona2/detail/110310550529/?rid=dj_sub192_detail_1_110310550529_e01_110302759610</t>
    <phoneticPr fontId="1"/>
  </si>
  <si>
    <t>C-MSX674N-2M</t>
  </si>
  <si>
    <t>形状　T型</t>
    <rPh sb="0" eb="2">
      <t>ケイジョウ</t>
    </rPh>
    <rPh sb="4" eb="5">
      <t>カタ</t>
    </rPh>
    <phoneticPr fontId="1"/>
  </si>
  <si>
    <t>形状　Y型</t>
    <rPh sb="0" eb="2">
      <t>ケイジョウ</t>
    </rPh>
    <rPh sb="4" eb="5">
      <t>ガタ</t>
    </rPh>
    <phoneticPr fontId="1"/>
  </si>
  <si>
    <t>品番 902-0119-000</t>
    <phoneticPr fontId="1"/>
  </si>
  <si>
    <t>ROBOTIS</t>
  </si>
  <si>
    <t>DYNAMIXEL XM430-W210-R</t>
    <phoneticPr fontId="1"/>
  </si>
  <si>
    <t>SS400-6F-LSB-NNN-800-400-10-CAR</t>
    <phoneticPr fontId="1"/>
  </si>
  <si>
    <t>標準ベルト S3M</t>
    <phoneticPr fontId="1"/>
  </si>
  <si>
    <t>三ツ星ベルト</t>
  </si>
  <si>
    <t>100S3M1035G</t>
  </si>
  <si>
    <t>100S3M2100G</t>
  </si>
  <si>
    <t>https://www.monotaro.com/p/6173/0979/?t.attr_f388=A1&amp;t.pt=3000</t>
    <phoneticPr fontId="1"/>
  </si>
  <si>
    <t>https://www.monotaro.com/p/4552/2346/?t.q=%8EK%8E~%82%DF</t>
    <phoneticPr fontId="1"/>
  </si>
  <si>
    <t>https://e-shop.robotis.co.jp/product.php?id=45</t>
    <phoneticPr fontId="1"/>
  </si>
  <si>
    <t>【オーダー】ブラケットフレーム AFLH-4040</t>
    <phoneticPr fontId="1"/>
  </si>
  <si>
    <t>【エコノミーシリーズ】 RoHS対応 アイドラー 背面テンションタイプ</t>
    <phoneticPr fontId="1"/>
  </si>
  <si>
    <t>C-AFDF15-30</t>
  </si>
  <si>
    <t>https://jp.misumi-ec.com/vona2/detail/110310461429/?CategorySpec=SP100255136%3A%3Ae</t>
  </si>
  <si>
    <t>SFRV15-937-F30-T20-W14</t>
    <phoneticPr fontId="1"/>
  </si>
  <si>
    <t>高精度ディスクカップリング　高トルク・セットスクリュータイプ</t>
  </si>
  <si>
    <t>CPKNSLK31.8-15-15</t>
  </si>
  <si>
    <t>https://jp.misumi-ec.com/vona2/detail/110300438930/?KWSearch=%E3%82%A2%E3%83%AB%E3%83%9F%E3%83%95%E3%83%AC%E3%83%BC%E3%83%A0+%E3%83%96%E3%83%A9%E3%82%B1%E3%83%83%E3%83%88&amp;searchFlow=results2products&amp;Brand=MSM1&amp;CategorySpec=00000191172%3A%3Ab%0900000191176%3A%3Ab%0900000191187%3A%3Aa%09SP100558806%3A%3Ac&amp;searchCategorySpec=11</t>
    <phoneticPr fontId="1"/>
  </si>
  <si>
    <t>HBLSS5</t>
  </si>
  <si>
    <t>５シリーズ（溝幅６ｍｍ）用薄型ブラケット</t>
  </si>
  <si>
    <t>PACK-HNTP5-4</t>
    <phoneticPr fontId="1"/>
  </si>
  <si>
    <t>NFS5-2020-786</t>
  </si>
  <si>
    <t>アルミフレーム　５シリーズ　Nタイプ　正方形　２０×２０ｍｍ　１列溝　４面溝</t>
    <phoneticPr fontId="1"/>
  </si>
  <si>
    <t>アルミフレーム　５シリーズ　Nタイプ　長方形　２０×４０ｍｍ　２列溝　４面溝</t>
    <phoneticPr fontId="1"/>
  </si>
  <si>
    <t>NFS5-2020-360</t>
    <phoneticPr fontId="1"/>
  </si>
  <si>
    <t>NFS5-2040-927</t>
  </si>
  <si>
    <t>NFS5-2040-100</t>
  </si>
  <si>
    <t>NFS5-2060-480</t>
  </si>
  <si>
    <t>https://jp.misumi-ec.com/vona2/detail/110310109439/?KWSearch=%E4%BA%9C%E9%89%9B%E3%82%81%E3%81%A3%E3%81%8D%E9%8B%BC%E6%9D%BF&amp;searchFlow=results2products&amp;searchCategorySpec=00</t>
    <phoneticPr fontId="1"/>
  </si>
  <si>
    <t>購入品</t>
    <rPh sb="0" eb="3">
      <t>コウニュウヒン</t>
    </rPh>
    <phoneticPr fontId="1"/>
  </si>
  <si>
    <t>https://jp.misumi-ec.com/vona2/detail/110310309959/?HissuCode=CPKNSLK31.8-15-15&amp;PNSearch=CPKNSLK31.8-15-15&amp;KWSearch=CPKNSLK31.8-15-15&amp;searchFlow=results2products&amp;list=PageSearchResult</t>
    <phoneticPr fontId="1"/>
  </si>
  <si>
    <t>　</t>
    <phoneticPr fontId="1"/>
  </si>
  <si>
    <t>　　　</t>
    <phoneticPr fontId="1"/>
  </si>
  <si>
    <t>土台用です。溶着したい素材を磁石で固定するため、鉄を選びました</t>
    <rPh sb="0" eb="2">
      <t>ドダイ</t>
    </rPh>
    <rPh sb="2" eb="3">
      <t>ヨウ</t>
    </rPh>
    <rPh sb="6" eb="8">
      <t>ヨウチャク</t>
    </rPh>
    <rPh sb="11" eb="13">
      <t>ソザイ</t>
    </rPh>
    <rPh sb="14" eb="16">
      <t>ジシャク</t>
    </rPh>
    <rPh sb="17" eb="19">
      <t>コテイ</t>
    </rPh>
    <rPh sb="24" eb="25">
      <t>テツ</t>
    </rPh>
    <rPh sb="26" eb="27">
      <t>エラ</t>
    </rPh>
    <phoneticPr fontId="1"/>
  </si>
  <si>
    <t>土台のさび止めです</t>
    <rPh sb="0" eb="2">
      <t>ドダイ</t>
    </rPh>
    <rPh sb="5" eb="6">
      <t>ド</t>
    </rPh>
    <phoneticPr fontId="1"/>
  </si>
  <si>
    <t>【オーダー】SUS304切板 2Bシャーリング切断 厚さ2mm</t>
  </si>
  <si>
    <t>注文コード 32589934 品番 -</t>
  </si>
  <si>
    <t>ノーブランド</t>
  </si>
  <si>
    <t>https://www.monotaro.com/p/3258/9934/</t>
  </si>
  <si>
    <t>400mm×400mm</t>
    <phoneticPr fontId="1"/>
  </si>
  <si>
    <t>溶着機固定</t>
    <rPh sb="0" eb="3">
      <t>ヨウチャクキ</t>
    </rPh>
    <rPh sb="3" eb="5">
      <t>コテイ</t>
    </rPh>
    <phoneticPr fontId="1"/>
  </si>
  <si>
    <t>タイミングベルト固定</t>
    <rPh sb="8" eb="10">
      <t>コテイ</t>
    </rPh>
    <phoneticPr fontId="1"/>
  </si>
  <si>
    <t>3Dプリント（CADデータを参照してください）</t>
    <rPh sb="14" eb="16">
      <t>サンショウ</t>
    </rPh>
    <phoneticPr fontId="1"/>
  </si>
  <si>
    <t>軸受_ベアリングの型番C-B6002ZZ</t>
    <phoneticPr fontId="1"/>
  </si>
  <si>
    <t>4個程度</t>
    <rPh sb="1" eb="4">
      <t>コテイド</t>
    </rPh>
    <phoneticPr fontId="1"/>
  </si>
  <si>
    <t>ベアリングを本体に固定する用</t>
    <rPh sb="6" eb="8">
      <t>ホンタイ</t>
    </rPh>
    <rPh sb="9" eb="11">
      <t>コテイ</t>
    </rPh>
    <rPh sb="13" eb="14">
      <t>ヨウ</t>
    </rPh>
    <phoneticPr fontId="1"/>
  </si>
  <si>
    <t>アイドラー固定＿右</t>
    <rPh sb="5" eb="7">
      <t>コテイ</t>
    </rPh>
    <rPh sb="8" eb="9">
      <t>ミギ</t>
    </rPh>
    <phoneticPr fontId="1"/>
  </si>
  <si>
    <t>dynamixel-カップリング＿X軸アダプター</t>
    <rPh sb="18" eb="19">
      <t>ジク</t>
    </rPh>
    <phoneticPr fontId="1"/>
  </si>
  <si>
    <t>dynamixel-カップリング＿Y軸アダプター</t>
    <phoneticPr fontId="1"/>
  </si>
  <si>
    <t>アイドラー固定＿左</t>
    <rPh sb="8" eb="9">
      <t>ヒダリ</t>
    </rPh>
    <phoneticPr fontId="1"/>
  </si>
  <si>
    <t>アイドラー固定＿左右共通</t>
    <rPh sb="8" eb="12">
      <t>サユウキョウツウ</t>
    </rPh>
    <phoneticPr fontId="1"/>
  </si>
  <si>
    <t>Y軸モータ受け</t>
    <rPh sb="1" eb="2">
      <t>ジク</t>
    </rPh>
    <rPh sb="5" eb="6">
      <t>ウ</t>
    </rPh>
    <phoneticPr fontId="1"/>
  </si>
  <si>
    <t>Y軸アイドラー上固定＿右</t>
    <rPh sb="1" eb="2">
      <t>ジク</t>
    </rPh>
    <rPh sb="7" eb="8">
      <t>ウエ</t>
    </rPh>
    <phoneticPr fontId="1"/>
  </si>
  <si>
    <t>X軸モータ受け</t>
    <rPh sb="1" eb="2">
      <t>ジク</t>
    </rPh>
    <rPh sb="5" eb="6">
      <t>ウ</t>
    </rPh>
    <phoneticPr fontId="1"/>
  </si>
  <si>
    <t>Y軸アイドラー＿張力用</t>
    <rPh sb="1" eb="2">
      <t>ジク</t>
    </rPh>
    <rPh sb="8" eb="11">
      <t>チョウリョクヨウ</t>
    </rPh>
    <phoneticPr fontId="1"/>
  </si>
  <si>
    <t>ラック</t>
    <phoneticPr fontId="1"/>
  </si>
  <si>
    <t>Y軸センサーアダプター</t>
    <rPh sb="1" eb="2">
      <t>ジク</t>
    </rPh>
    <phoneticPr fontId="1"/>
  </si>
  <si>
    <t>部品２個あります</t>
    <rPh sb="0" eb="2">
      <t>ブヒン</t>
    </rPh>
    <rPh sb="3" eb="4">
      <t>コ</t>
    </rPh>
    <phoneticPr fontId="1"/>
  </si>
  <si>
    <t>Z軸モーター受け</t>
    <rPh sb="1" eb="2">
      <t>ジク</t>
    </rPh>
    <rPh sb="6" eb="7">
      <t>ウ</t>
    </rPh>
    <phoneticPr fontId="1"/>
  </si>
  <si>
    <t>X軸センサーアダプター</t>
    <rPh sb="1" eb="2">
      <t>ジク</t>
    </rPh>
    <phoneticPr fontId="1"/>
  </si>
  <si>
    <t>ピニオン</t>
    <phoneticPr fontId="1"/>
  </si>
  <si>
    <t>ケーブルチェーン終わり</t>
    <rPh sb="8" eb="9">
      <t>オ</t>
    </rPh>
    <phoneticPr fontId="1"/>
  </si>
  <si>
    <t>ケーブルチェーン始まり</t>
    <rPh sb="8" eb="9">
      <t>ハジ</t>
    </rPh>
    <phoneticPr fontId="1"/>
  </si>
  <si>
    <t>ケーブルチェーン支持用</t>
    <rPh sb="8" eb="11">
      <t>シジヨウ</t>
    </rPh>
    <phoneticPr fontId="1"/>
  </si>
  <si>
    <t>ケーブルチェーンver2片側</t>
    <rPh sb="12" eb="14">
      <t>カタガワ</t>
    </rPh>
    <phoneticPr fontId="1"/>
  </si>
  <si>
    <t>たくさん</t>
    <phoneticPr fontId="1"/>
  </si>
  <si>
    <t xml:space="preserve"> </t>
    <phoneticPr fontId="1"/>
  </si>
  <si>
    <t>価格(目安)</t>
    <rPh sb="0" eb="2">
      <t>カカク</t>
    </rPh>
    <rPh sb="3" eb="5">
      <t>メヤス</t>
    </rPh>
    <phoneticPr fontId="1"/>
  </si>
  <si>
    <t>SSEBZ10-95</t>
    <phoneticPr fontId="1"/>
  </si>
  <si>
    <t>ミニチュアリニアガイド 標準ブロック</t>
    <phoneticPr fontId="1"/>
  </si>
  <si>
    <t>https://jp.misumi-ec.com/vona2/detail/110302586530/?PNSearch=SSEBZ10-95&amp;HissuCode=SSEBZ10-95&amp;Keyword=SSEBZ10-95&amp;list=SuggestPreview&amp;searchFlow=suggest2products</t>
    <phoneticPr fontId="1"/>
  </si>
  <si>
    <t>瞬時 フットスイッチ フットスイッチ 瞬時電力 フットペダルスイッチ スリップ防止設計、【定格電圧6V-24-36-220-380V】家庭用ミシン工作に適しています（線の長さ15cm ）2枚入 ﻿</t>
  </si>
  <si>
    <t>B0D7PTGY23</t>
    <phoneticPr fontId="1"/>
  </si>
  <si>
    <t>LEACAGR</t>
    <phoneticPr fontId="1"/>
  </si>
  <si>
    <t>https://amzn.asia/d/fQzRnqV</t>
    <phoneticPr fontId="1"/>
  </si>
  <si>
    <t>足で溶着機を操作するためです。手動で溶着するときに便利です。</t>
    <rPh sb="0" eb="1">
      <t>アシ</t>
    </rPh>
    <rPh sb="2" eb="5">
      <t>ヨウチャクキ</t>
    </rPh>
    <rPh sb="6" eb="8">
      <t>ソウサ</t>
    </rPh>
    <rPh sb="15" eb="17">
      <t>シュドウ</t>
    </rPh>
    <rPh sb="18" eb="20">
      <t>ヨウチャク</t>
    </rPh>
    <rPh sb="25" eb="27">
      <t>ベンリ</t>
    </rPh>
    <phoneticPr fontId="1"/>
  </si>
  <si>
    <t>絶縁型デジタル入出力ターミナル</t>
    <phoneticPr fontId="1"/>
  </si>
  <si>
    <t>注文コード11692704 品番DIO-0808LY-USB</t>
  </si>
  <si>
    <t>CONTEC(コンテック)</t>
  </si>
  <si>
    <t>https://www.monotaro.com/p/1169/2704/?t.q=DIO-0808LY-USB</t>
    <phoneticPr fontId="1"/>
  </si>
  <si>
    <t>入出力ターミナル。溶着機に信号を送ったり、リミットセンサーを読み取ります</t>
    <rPh sb="0" eb="3">
      <t>ニュウシュツリョク</t>
    </rPh>
    <rPh sb="9" eb="12">
      <t>ヨウチャクキ</t>
    </rPh>
    <rPh sb="13" eb="15">
      <t>シンゴウ</t>
    </rPh>
    <rPh sb="16" eb="17">
      <t>オク</t>
    </rPh>
    <rPh sb="30" eb="31">
      <t>ヨ</t>
    </rPh>
    <rPh sb="32" eb="33">
      <t>ト</t>
    </rPh>
    <phoneticPr fontId="1"/>
  </si>
  <si>
    <t>https://e-shop.robotis.co.jp/product.php?id=331</t>
    <phoneticPr fontId="1"/>
  </si>
  <si>
    <t>ACアダプター 12V 7A (84W) Φ2.5</t>
  </si>
  <si>
    <t>USBシリアル変換インターフェース U2D2</t>
  </si>
  <si>
    <t>https://e-shop.robotis.co.jp/product.php?id=175</t>
  </si>
  <si>
    <t>https://e-shop.robotis.co.jp/product.php?id=190</t>
  </si>
  <si>
    <t>Robot Cable-X4P(JST-JST) 10pcs</t>
  </si>
  <si>
    <t>https://e-shop.robotis.co.jp/product.php?id=217</t>
  </si>
  <si>
    <t>Robot Cable-X4P(Convertible) 10pcs</t>
  </si>
  <si>
    <t>https://e-shop.robotis.co.jp/product.php?id=433</t>
  </si>
  <si>
    <t>モーターです</t>
    <phoneticPr fontId="1"/>
  </si>
  <si>
    <t>以下5つはモーターを動かすのに必要なものです。間違っている可能性もあるので念のため調べてください</t>
    <rPh sb="0" eb="2">
      <t>イカ</t>
    </rPh>
    <rPh sb="10" eb="11">
      <t>ウゴ</t>
    </rPh>
    <rPh sb="15" eb="17">
      <t>ヒツヨウ</t>
    </rPh>
    <rPh sb="23" eb="25">
      <t>マチガ</t>
    </rPh>
    <rPh sb="29" eb="32">
      <t>カノウセイ</t>
    </rPh>
    <rPh sb="37" eb="38">
      <t>ネン</t>
    </rPh>
    <rPh sb="41" eb="42">
      <t>シラ</t>
    </rPh>
    <phoneticPr fontId="1"/>
  </si>
  <si>
    <t>モーターに付属しているかもしれません。</t>
    <rPh sb="5" eb="7">
      <t>フゾク</t>
    </rPh>
    <phoneticPr fontId="1"/>
  </si>
  <si>
    <t>モーターに付属してないので買う必要があります</t>
    <rPh sb="5" eb="7">
      <t>フゾク</t>
    </rPh>
    <rPh sb="13" eb="14">
      <t>カ</t>
    </rPh>
    <rPh sb="15" eb="17">
      <t>ヒツヨウ</t>
    </rPh>
    <phoneticPr fontId="1"/>
  </si>
  <si>
    <t>５シリーズ（溝幅６ｍｍ）用　アルミフレーム用後入れナット【1～100個入り】</t>
    <phoneticPr fontId="1"/>
  </si>
  <si>
    <t>https://jp.misumi-ec.com/vona2/detail/110300461850/?KWSearch=%EF%BC%95%E3%82%B7%E3%83%AA%E3%83%BC%E3%82%BA%EF%BC%88%E6%BA%9D%E5%B9%85%EF%BC%96%EF%BD%8D%EF%BD%8D%EF%BC%89%E7%94%A8+%E3%82%A2%E3%83%AB%E3%83%9F%E3%83%95%E3%83%AC%E3%83%BC%E3%83%A0%E3%83%8A%E3%83%83%E3%83%88&amp;searchFlow=results2products&amp;searchCategorySpec=00</t>
    <phoneticPr fontId="1"/>
  </si>
  <si>
    <t>HNTF5-4</t>
    <phoneticPr fontId="1"/>
  </si>
  <si>
    <t>このナットはバネナットより小型（短い）なので、ボルトの間隔を短くできます</t>
    <rPh sb="13" eb="15">
      <t>コガタ</t>
    </rPh>
    <rPh sb="16" eb="17">
      <t>ミジカ</t>
    </rPh>
    <rPh sb="27" eb="29">
      <t>カンカク</t>
    </rPh>
    <rPh sb="30" eb="31">
      <t>ミジカ</t>
    </rPh>
    <phoneticPr fontId="1"/>
  </si>
  <si>
    <t>アルミフレームに後入れ出来、重力で動かないので便利です</t>
    <rPh sb="8" eb="10">
      <t>アトイ</t>
    </rPh>
    <rPh sb="11" eb="13">
      <t>デキ</t>
    </rPh>
    <rPh sb="14" eb="16">
      <t>ジュウリョク</t>
    </rPh>
    <rPh sb="17" eb="18">
      <t>ウゴ</t>
    </rPh>
    <rPh sb="23" eb="25">
      <t>ベンリ</t>
    </rPh>
    <phoneticPr fontId="1"/>
  </si>
  <si>
    <t>長さ：33 mm　買いましたが３Dプリンターでつくってもよかったです</t>
    <rPh sb="9" eb="10">
      <t>カ</t>
    </rPh>
    <phoneticPr fontId="1"/>
  </si>
  <si>
    <t>サイズ：A1　【重要→】当初、溶着に加え全自動カットも導入する予定だったので、土台はカッターマットを一番上に敷き、その下に安く変形しなく磁石につく鉄板を置くことを考えていました。超音波溶着は表面が金属の土台の上でやるほうがいいので、自動でカットしないかたは錆びない金属を一番上に敷くといいでしょう。私はカットはあきらめたので、一つ下の項目にあるステンレス板を追加で買い土台の一番上に敷いていました</t>
    <rPh sb="8" eb="10">
      <t>ジュウヨウ</t>
    </rPh>
    <rPh sb="12" eb="14">
      <t>トウショ</t>
    </rPh>
    <rPh sb="15" eb="17">
      <t>ヨウチャク</t>
    </rPh>
    <rPh sb="18" eb="19">
      <t>クワ</t>
    </rPh>
    <rPh sb="20" eb="23">
      <t>ゼンジドウ</t>
    </rPh>
    <rPh sb="27" eb="29">
      <t>ドウニュウ</t>
    </rPh>
    <rPh sb="31" eb="33">
      <t>ヨテイ</t>
    </rPh>
    <rPh sb="39" eb="41">
      <t>ドダイ</t>
    </rPh>
    <rPh sb="50" eb="53">
      <t>イチバンウエ</t>
    </rPh>
    <rPh sb="54" eb="55">
      <t>シ</t>
    </rPh>
    <rPh sb="59" eb="60">
      <t>シタ</t>
    </rPh>
    <rPh sb="61" eb="62">
      <t>ヤス</t>
    </rPh>
    <rPh sb="63" eb="65">
      <t>ヘンケイ</t>
    </rPh>
    <rPh sb="68" eb="70">
      <t>ジシャク</t>
    </rPh>
    <rPh sb="73" eb="75">
      <t>テッパン</t>
    </rPh>
    <rPh sb="76" eb="77">
      <t>オ</t>
    </rPh>
    <rPh sb="81" eb="82">
      <t>カンガ</t>
    </rPh>
    <rPh sb="89" eb="92">
      <t>チョウオンパ</t>
    </rPh>
    <rPh sb="92" eb="94">
      <t>ヨウチャク</t>
    </rPh>
    <rPh sb="95" eb="97">
      <t>ヒョウメン</t>
    </rPh>
    <rPh sb="98" eb="100">
      <t>キンゾク</t>
    </rPh>
    <rPh sb="101" eb="103">
      <t>ドダイ</t>
    </rPh>
    <rPh sb="104" eb="105">
      <t>ウエ</t>
    </rPh>
    <rPh sb="116" eb="118">
      <t>ジドウ</t>
    </rPh>
    <rPh sb="128" eb="129">
      <t>サ</t>
    </rPh>
    <rPh sb="132" eb="134">
      <t>キンゾク</t>
    </rPh>
    <rPh sb="135" eb="138">
      <t>イチバンウエ</t>
    </rPh>
    <rPh sb="139" eb="140">
      <t>シ</t>
    </rPh>
    <rPh sb="149" eb="150">
      <t>ワタシ</t>
    </rPh>
    <rPh sb="167" eb="169">
      <t>コウモク</t>
    </rPh>
    <rPh sb="179" eb="181">
      <t>ツイカ</t>
    </rPh>
    <rPh sb="182" eb="183">
      <t>カ</t>
    </rPh>
    <rPh sb="184" eb="186">
      <t>ドダイ</t>
    </rPh>
    <rPh sb="187" eb="189">
      <t>イチバン</t>
    </rPh>
    <rPh sb="189" eb="190">
      <t>ウエ</t>
    </rPh>
    <rPh sb="191" eb="192">
      <t>シ</t>
    </rPh>
    <phoneticPr fontId="1"/>
  </si>
  <si>
    <t>JⅡ431SA-外部I0なし</t>
  </si>
  <si>
    <t>精電舎電子工業株式会社</t>
    <phoneticPr fontId="1"/>
  </si>
  <si>
    <t>https://www.sedeco.co.jp/</t>
  </si>
  <si>
    <t>小型超音波溶着機</t>
    <phoneticPr fontId="1"/>
  </si>
  <si>
    <t>小型超音波溶着機の先端</t>
    <rPh sb="9" eb="11">
      <t>センタン</t>
    </rPh>
    <phoneticPr fontId="1"/>
  </si>
  <si>
    <t>先端が小さい丸のものを買いました。値段はおおよその値です</t>
    <rPh sb="0" eb="2">
      <t>センタン</t>
    </rPh>
    <rPh sb="3" eb="4">
      <t>チイ</t>
    </rPh>
    <rPh sb="6" eb="7">
      <t>マル</t>
    </rPh>
    <rPh sb="11" eb="12">
      <t>カ</t>
    </rPh>
    <rPh sb="17" eb="19">
      <t>ネダン</t>
    </rPh>
    <rPh sb="25" eb="26">
      <t>アタイ</t>
    </rPh>
    <phoneticPr fontId="1"/>
  </si>
  <si>
    <t>注文コード 04425596 品番 MNCP0002</t>
  </si>
  <si>
    <t>https://www.monotaro.com/p/0442/5596/</t>
    <phoneticPr fontId="1"/>
  </si>
  <si>
    <t>高さがないので溶着機と干渉しにくく便利ですが、もう少し強力なものでもいいかもしれません。</t>
    <rPh sb="0" eb="1">
      <t>タカ</t>
    </rPh>
    <rPh sb="7" eb="10">
      <t>ヨウチャクキ</t>
    </rPh>
    <rPh sb="11" eb="13">
      <t>カンショウ</t>
    </rPh>
    <rPh sb="17" eb="19">
      <t>ベンリ</t>
    </rPh>
    <rPh sb="25" eb="26">
      <t>スコ</t>
    </rPh>
    <rPh sb="27" eb="29">
      <t>キョウリョク</t>
    </rPh>
    <phoneticPr fontId="1"/>
  </si>
  <si>
    <t>PLAではなくPETGなどの靭性に優れた素材を使うと取り付けの際に壊しにくいです</t>
    <rPh sb="14" eb="16">
      <t>ジンセイ</t>
    </rPh>
    <rPh sb="17" eb="18">
      <t>スグ</t>
    </rPh>
    <rPh sb="20" eb="22">
      <t>ソザイ</t>
    </rPh>
    <rPh sb="23" eb="24">
      <t>ツカ</t>
    </rPh>
    <rPh sb="26" eb="27">
      <t>ト</t>
    </rPh>
    <rPh sb="28" eb="29">
      <t>ツ</t>
    </rPh>
    <rPh sb="31" eb="32">
      <t>サイ</t>
    </rPh>
    <rPh sb="33" eb="34">
      <t>コワ</t>
    </rPh>
    <phoneticPr fontId="1"/>
  </si>
  <si>
    <t>非常停止ボタン</t>
    <rPh sb="0" eb="4">
      <t>ヒジョウテイシ</t>
    </rPh>
    <phoneticPr fontId="1"/>
  </si>
  <si>
    <t>１２V～モーターの間に設置するといいでしょう。相場の価格を仮で入れています</t>
    <rPh sb="9" eb="10">
      <t>アイダ</t>
    </rPh>
    <rPh sb="11" eb="13">
      <t>セッチ</t>
    </rPh>
    <rPh sb="23" eb="25">
      <t>ソウバ</t>
    </rPh>
    <rPh sb="26" eb="28">
      <t>カカク</t>
    </rPh>
    <rPh sb="29" eb="30">
      <t>カリ</t>
    </rPh>
    <rPh sb="31" eb="32">
      <t>イ</t>
    </rPh>
    <phoneticPr fontId="1"/>
  </si>
  <si>
    <t>SMPS2Dynamixel</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</si>
</sst>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_ &quot;¥&quot;* #,##0_ ;_ &quot;¥&quot;* \-#,##0_ ;_ &quot;¥&quot;* &quot;-&quot;?_ ;_ @_ "/>
  </numFmts>
  <fonts count="8" x14ac:knownFonts="1">
    <font>
      <sz val="11"/>
      <color theme="1"/>
      <name val="ＭＳ Ｐゴシック"/>
      <family val="2"/>
      <scheme val="minor"/>
    </font>
    <font>
      <sz val="6"/>
      <name val="ＭＳ Ｐゴシック"/>
      <family val="3"/>
      <charset val="128"/>
      <scheme val="minor"/>
    </font>
    <font>
      <u/>
      <sz val="11"/>
      <color theme="10"/>
      <name val="ＭＳ Ｐゴシック"/>
      <family val="2"/>
      <scheme val="minor"/>
    </font>
    <font>
      <sz val="12"/>
      <color theme="1"/>
      <name val="ＭＳ Ｐゴシック"/>
      <family val="3"/>
      <charset val="128"/>
      <scheme val="major"/>
    </font>
    <font>
      <sz val="11"/>
      <color rgb="FF333333"/>
      <name val="Arial"/>
      <family val="3"/>
      <charset val="128"/>
    </font>
    <font>
      <sz val="11"/>
      <color theme="1"/>
      <name val="ＭＳ Ｐゴシック"/>
      <family val="3"/>
      <charset val="128"/>
      <scheme val="major"/>
    </font>
    <font>
      <sz val="11"/>
      <color rgb="FFFF0000"/>
      <name val="ＭＳ Ｐゴシック"/>
      <family val="2"/>
      <scheme val="minor"/>
    </font>
    <font>
      <sz val="11"/>
      <name val="ＭＳ Ｐゴシック"/>
      <family val="2"/>
      <scheme val="minor"/>
    </font>
  </fonts>
  <fills count="3">
    <fill>
      <patternFill patternType="none"/>
    </fill>
    <fill>
      <patternFill patternType="gray125"/>
    </fill>
    <fill>
      <patternFill patternType="solid">
        <fgColor theme="0"/>
        <bgColor indexed="64"/>
      </patternFill>
    </fill>
  </fills>
  <borders count="2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48">
    <xf numFmtId="0" fontId="0" fillId="0" borderId="0" xfId="0"/>
    <xf numFmtId="0" fontId="0" fillId="0" borderId="1" xfId="0" applyBorder="1"/>
    <xf numFmtId="0" fontId="2" fillId="0" borderId="0" xfId="1"/>
    <xf numFmtId="0" fontId="0" fillId="0" borderId="2" xfId="0" applyBorder="1"/>
    <xf numFmtId="0" fontId="2" fillId="0" borderId="2" xfId="1" applyBorder="1"/>
    <xf numFmtId="0" fontId="0" fillId="0" borderId="3" xfId="0" applyBorder="1"/>
    <xf numFmtId="0" fontId="0" fillId="0" borderId="4" xfId="0" applyBorder="1"/>
    <xf numFmtId="0" fontId="0" fillId="0" borderId="6" xfId="0" applyBorder="1"/>
    <xf numFmtId="3" fontId="0" fillId="0" borderId="7" xfId="0" applyNumberFormat="1" applyBorder="1"/>
    <xf numFmtId="176" fontId="0" fillId="0" borderId="8" xfId="0" applyNumberFormat="1" applyBorder="1"/>
    <xf numFmtId="0" fontId="0" fillId="0" borderId="9" xfId="0" applyBorder="1"/>
    <xf numFmtId="0" fontId="0" fillId="0" borderId="10" xfId="0" applyBorder="1"/>
    <xf numFmtId="0" fontId="0" fillId="0" borderId="11" xfId="0" applyBorder="1"/>
    <xf numFmtId="0" fontId="0" fillId="0" borderId="12" xfId="0" applyBorder="1"/>
    <xf numFmtId="0" fontId="4" fillId="0" borderId="2" xfId="0" applyFont="1" applyBorder="1"/>
    <xf numFmtId="176" fontId="0" fillId="0" borderId="1" xfId="0" applyNumberFormat="1" applyBorder="1"/>
    <xf numFmtId="3" fontId="0" fillId="0" borderId="0" xfId="0" applyNumberFormat="1"/>
    <xf numFmtId="0" fontId="0" fillId="0" borderId="2" xfId="0" applyBorder="1" applyAlignment="1">
      <alignment horizontal="left"/>
    </xf>
    <xf numFmtId="0" fontId="0" fillId="0" borderId="14" xfId="0" applyBorder="1"/>
    <xf numFmtId="0" fontId="0" fillId="0" borderId="15" xfId="0" applyBorder="1"/>
    <xf numFmtId="0" fontId="2" fillId="0" borderId="14" xfId="1" applyBorder="1"/>
    <xf numFmtId="3" fontId="0" fillId="0" borderId="15" xfId="0" applyNumberFormat="1" applyBorder="1"/>
    <xf numFmtId="0" fontId="0" fillId="2" borderId="5" xfId="0" applyFill="1" applyBorder="1"/>
    <xf numFmtId="0" fontId="0" fillId="2" borderId="13" xfId="0" applyFill="1" applyBorder="1"/>
    <xf numFmtId="0" fontId="5" fillId="2" borderId="0" xfId="0" applyFont="1" applyFill="1"/>
    <xf numFmtId="3" fontId="0" fillId="0" borderId="16" xfId="0" applyNumberFormat="1" applyBorder="1"/>
    <xf numFmtId="0" fontId="6" fillId="2" borderId="13" xfId="0" applyFont="1" applyFill="1" applyBorder="1"/>
    <xf numFmtId="0" fontId="0" fillId="0" borderId="17" xfId="0" applyBorder="1"/>
    <xf numFmtId="0" fontId="0" fillId="0" borderId="5" xfId="0" applyBorder="1"/>
    <xf numFmtId="0" fontId="0" fillId="0" borderId="7" xfId="0" applyBorder="1"/>
    <xf numFmtId="0" fontId="7" fillId="2" borderId="5" xfId="0" applyFont="1" applyFill="1" applyBorder="1"/>
    <xf numFmtId="0" fontId="5" fillId="2" borderId="2" xfId="0" applyFont="1" applyFill="1" applyBorder="1"/>
    <xf numFmtId="0" fontId="0" fillId="2" borderId="14" xfId="0" applyFill="1" applyBorder="1"/>
    <xf numFmtId="3" fontId="0" fillId="0" borderId="18" xfId="0" applyNumberFormat="1" applyBorder="1"/>
    <xf numFmtId="0" fontId="6" fillId="2" borderId="14" xfId="0" applyFont="1" applyFill="1" applyBorder="1"/>
    <xf numFmtId="3" fontId="0" fillId="0" borderId="19" xfId="0" applyNumberFormat="1" applyBorder="1"/>
    <xf numFmtId="3" fontId="0" fillId="0" borderId="20" xfId="0" applyNumberFormat="1" applyBorder="1"/>
    <xf numFmtId="0" fontId="0" fillId="0" borderId="21" xfId="0" applyBorder="1"/>
    <xf numFmtId="0" fontId="2" fillId="0" borderId="21" xfId="1" applyBorder="1"/>
    <xf numFmtId="0" fontId="0" fillId="0" borderId="0" xfId="0" applyAlignment="1">
      <alignment horizontal="center"/>
    </xf>
    <xf numFmtId="0" fontId="0" fillId="0" borderId="2" xfId="0" applyBorder="1" applyAlignment="1">
      <alignment horizontal="center"/>
    </xf>
    <xf numFmtId="0" fontId="0" fillId="0" borderId="22" xfId="0" applyBorder="1"/>
    <xf numFmtId="0" fontId="0" fillId="0" borderId="23" xfId="0" applyBorder="1"/>
    <xf numFmtId="0" fontId="0" fillId="0" borderId="24" xfId="0" applyBorder="1"/>
    <xf numFmtId="0" fontId="0" fillId="0" borderId="16" xfId="0" applyBorder="1"/>
    <xf numFmtId="0" fontId="3" fillId="0" borderId="5" xfId="0" applyFont="1" applyBorder="1"/>
    <xf numFmtId="0" fontId="0" fillId="0" borderId="11" xfId="0" applyBorder="1" applyAlignment="1">
      <alignment horizontal="center"/>
    </xf>
    <xf numFmtId="0" fontId="0" fillId="0" borderId="25" xfId="0" applyBorder="1"/>
  </cellXfs>
  <cellStyles count="2">
    <cellStyle name="ハイパーリンク" xfId="1" builtinId="8"/>
    <cellStyle name="標準" xfId="0" builtinId="0"/>
  </cellStyles>
  <dxfs count="0"/>
  <tableStyles count="1" defaultTableStyle="TableStyleMedium2" defaultPivotStyle="PivotStyleLight16">
    <tableStyle name="Invisible" pivot="0" table="0" count="0" xr9:uid="{4AFF09F6-653A-456A-BBCC-FF8505258CA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jp.misumi-ec.com/vona2/detail/221000014921/?CategorySpec=SP100253990%3A%3Aa%09SP100254131%3A%3Ap" TargetMode="External"/><Relationship Id="rId13" Type="http://schemas.openxmlformats.org/officeDocument/2006/relationships/hyperlink" Target="https://e-shop.robotis.co.jp/product.php?id=45" TargetMode="External"/><Relationship Id="rId18" Type="http://schemas.openxmlformats.org/officeDocument/2006/relationships/hyperlink" Target="https://jp.misumi-ec.com/vona2/detail/110302586530/?PNSearch=SSEBZ10-95&amp;HissuCode=SSEBZ10-95&amp;Keyword=SSEBZ10-95&amp;list=SuggestPreview&amp;searchFlow=suggest2products" TargetMode="External"/><Relationship Id="rId3" Type="http://schemas.openxmlformats.org/officeDocument/2006/relationships/hyperlink" Target="https://jp.misumi-ec.com/vona2/detail/110310313739/" TargetMode="External"/><Relationship Id="rId21" Type="http://schemas.openxmlformats.org/officeDocument/2006/relationships/hyperlink" Target="https://e-shop.robotis.co.jp/product.php?id=331" TargetMode="External"/><Relationship Id="rId7" Type="http://schemas.openxmlformats.org/officeDocument/2006/relationships/hyperlink" Target="https://jp.misumi-ec.com/vona2/detail/110302734840/?CategorySpec=00000206749%3a%3a00000206749.a%2100009%0900000206748%3a%3amig00000002466978%0900000206732%3a%3amig00000002466979%0900000206744%3a%3amig00000002466974&amp;bid=bid_STC_LP2401_oth2_sc3141_20209" TargetMode="External"/><Relationship Id="rId12" Type="http://schemas.openxmlformats.org/officeDocument/2006/relationships/hyperlink" Target="https://www.monotaro.com/p/4552/2346/?t.q=%8EK%8E~%82%DF" TargetMode="External"/><Relationship Id="rId17" Type="http://schemas.openxmlformats.org/officeDocument/2006/relationships/hyperlink" Target="https://jp.misumi-ec.com/vona2/detail/110310309959/?HissuCode=CPKNSLK31.8-15-15&amp;PNSearch=CPKNSLK31.8-15-15&amp;KWSearch=CPKNSLK31.8-15-15&amp;searchFlow=results2products&amp;list=PageSearchResult" TargetMode="External"/><Relationship Id="rId2" Type="http://schemas.openxmlformats.org/officeDocument/2006/relationships/hyperlink" Target="https://jp.misumi-ec.com/vona2/detail/110302608410/?rid=dj_sub33_detail_3_110302608410_e18_110311092599" TargetMode="External"/><Relationship Id="rId16" Type="http://schemas.openxmlformats.org/officeDocument/2006/relationships/hyperlink" Target="https://www.monotaro.com/g/02364574/?t.q=%E3%83%96%E3%83%A9%E3%82%B1%E3%83%83%E3%83%88%E3%83%95%E3%83%AC%E3%83%BC%E3%83%A0" TargetMode="External"/><Relationship Id="rId20" Type="http://schemas.openxmlformats.org/officeDocument/2006/relationships/hyperlink" Target="https://www.monotaro.com/p/1169/2704/?t.q=DIO-0808LY-USB" TargetMode="External"/><Relationship Id="rId1" Type="http://schemas.openxmlformats.org/officeDocument/2006/relationships/hyperlink" Target="https://jp.misumi-ec.com/vona2/detail/110300437260/?rid=dj_sub33_detail_1_110300437260_e18_110311092599" TargetMode="External"/><Relationship Id="rId6" Type="http://schemas.openxmlformats.org/officeDocument/2006/relationships/hyperlink" Target="https://jp.misumi-ec.com/vona2/detail/110302734840/?CategorySpec=00000206749%3a%3a00000206749.a%2100009%0900000206748%3a%3amig00000002466981%0900000206732%3a%3amig00000002466980%0900000206744%3a%3amig00000002466982&amp;bid=bid_STC_LP2401_oth4_sc3141_20209" TargetMode="External"/><Relationship Id="rId11" Type="http://schemas.openxmlformats.org/officeDocument/2006/relationships/hyperlink" Target="https://www.monotaro.com/p/6173/0979/?t.attr_f388=A1&amp;t.pt=3000" TargetMode="External"/><Relationship Id="rId24" Type="http://schemas.openxmlformats.org/officeDocument/2006/relationships/printerSettings" Target="../printerSettings/printerSettings1.bin"/><Relationship Id="rId5" Type="http://schemas.openxmlformats.org/officeDocument/2006/relationships/hyperlink" Target="https://jp.misumi-ec.com/vona2/detail/110300087170/?list=PageCategory&amp;clkid=clkid_basic_shape_template" TargetMode="External"/><Relationship Id="rId15" Type="http://schemas.openxmlformats.org/officeDocument/2006/relationships/hyperlink" Target="https://jp.misumi-ec.com/vona2/detail/110310109439/?KWSearch=%E4%BA%9C%E9%89%9B%E3%82%81%E3%81%A3%E3%81%8D%E9%8B%BC%E6%9D%BF&amp;searchFlow=results2products&amp;searchCategorySpec=00" TargetMode="External"/><Relationship Id="rId23" Type="http://schemas.openxmlformats.org/officeDocument/2006/relationships/hyperlink" Target="https://www.monotaro.com/p/0442/5596/" TargetMode="External"/><Relationship Id="rId10" Type="http://schemas.openxmlformats.org/officeDocument/2006/relationships/hyperlink" Target="https://jp.misumi-ec.com/vona2/detail/110310550529/?rid=dj_sub192_detail_1_110310550529_e01_110302759610" TargetMode="External"/><Relationship Id="rId19" Type="http://schemas.openxmlformats.org/officeDocument/2006/relationships/hyperlink" Target="https://amzn.asia/d/fQzRnqV" TargetMode="External"/><Relationship Id="rId4" Type="http://schemas.openxmlformats.org/officeDocument/2006/relationships/hyperlink" Target="https://jp.misumi-ec.com/vona2/detail/110310405719/?PNSearch=C-AHTF30S3M100&amp;HissuCode=C-AHTF30S3M100&amp;Keyword=C-AHTF30S3M100&amp;list=SuggestPreview&amp;searchFlow=suggest2products" TargetMode="External"/><Relationship Id="rId9" Type="http://schemas.openxmlformats.org/officeDocument/2006/relationships/hyperlink" Target="https://jp.misumi-ec.com/vona2/detail/110302590550/?KWSearch=%E3%83%99%E3%82%A2%E3%83%AA%E3%83%B3%E3%82%B0&amp;searchFlow=results2products&amp;Brand=MSM1&amp;CategorySpec=00000228694%3A%3Amig00000002486227%0900000228895%3A%3Ab&amp;searchCategorySpec=01" TargetMode="External"/><Relationship Id="rId14" Type="http://schemas.openxmlformats.org/officeDocument/2006/relationships/hyperlink" Target="https://jp.misumi-ec.com/vona2/detail/110300438930/?KWSearch=%E3%82%A2%E3%83%AB%E3%83%9F%E3%83%95%E3%83%AC%E3%83%BC%E3%83%A0+%E3%83%96%E3%83%A9%E3%82%B1%E3%83%83%E3%83%88&amp;searchFlow=results2products&amp;Brand=MSM1&amp;CategorySpec=00000191172%3A%3Ab%0900000191176%3A%3Ab%0900000191187%3A%3Aa%09SP100558806%3A%3Ac&amp;searchCategorySpec=11" TargetMode="External"/><Relationship Id="rId22" Type="http://schemas.openxmlformats.org/officeDocument/2006/relationships/hyperlink" Target="https://jp.misumi-ec.com/vona2/detail/110300461850/?KWSearch=%EF%BC%95%E3%82%B7%E3%83%AA%E3%83%BC%E3%82%BA%EF%BC%88%E6%BA%9D%E5%B9%85%EF%BC%96%EF%BD%8D%EF%BD%8D%EF%BC%89%E7%94%A8+%E3%82%A2%E3%83%AB%E3%83%9F%E3%83%95%E3%83%AC%E3%83%BC%E3%83%A0%E3%83%8A%E3%83%83%E3%83%88&amp;searchFlow=results2products&amp;searchCategorySpec=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6"/>
  <sheetViews>
    <sheetView tabSelected="1" zoomScale="93" zoomScaleNormal="93" workbookViewId="0">
      <selection activeCell="A41" sqref="A41"/>
    </sheetView>
  </sheetViews>
  <sheetFormatPr defaultColWidth="8.75" defaultRowHeight="13.5" x14ac:dyDescent="0.15"/>
  <cols>
    <col min="1" max="1" width="51.75" customWidth="1"/>
    <col min="2" max="2" width="36.375" customWidth="1"/>
    <col min="3" max="4" width="19.125" customWidth="1"/>
    <col min="5" max="5" width="47.125" customWidth="1"/>
    <col min="6" max="6" width="7.625" customWidth="1"/>
    <col min="7" max="7" width="15.625" customWidth="1"/>
    <col min="8" max="8" width="14.75" customWidth="1"/>
  </cols>
  <sheetData>
    <row r="1" spans="1:8" ht="14.25" thickBot="1" x14ac:dyDescent="0.2">
      <c r="A1" t="s">
        <v>84</v>
      </c>
    </row>
    <row r="2" spans="1:8" ht="14.25" thickBot="1" x14ac:dyDescent="0.2">
      <c r="A2" s="5" t="s">
        <v>0</v>
      </c>
      <c r="B2" s="6" t="s">
        <v>7</v>
      </c>
      <c r="C2" s="6" t="s">
        <v>1</v>
      </c>
      <c r="D2" s="6" t="s">
        <v>6</v>
      </c>
      <c r="E2" s="6" t="s">
        <v>2</v>
      </c>
      <c r="F2" s="6" t="s">
        <v>3</v>
      </c>
      <c r="G2" s="7" t="s">
        <v>4</v>
      </c>
      <c r="H2" s="1" t="s">
        <v>122</v>
      </c>
    </row>
    <row r="3" spans="1:8" ht="14.25" x14ac:dyDescent="0.2">
      <c r="A3" s="22" t="s">
        <v>8</v>
      </c>
      <c r="B3" s="14" t="s">
        <v>76</v>
      </c>
      <c r="C3" s="3" t="s">
        <v>17</v>
      </c>
      <c r="D3" s="4" t="s">
        <v>9</v>
      </c>
      <c r="E3" t="s">
        <v>86</v>
      </c>
      <c r="F3" s="3">
        <v>2</v>
      </c>
      <c r="G3" s="8">
        <v>396</v>
      </c>
      <c r="H3" s="9">
        <f>F3*G3</f>
        <v>792</v>
      </c>
    </row>
    <row r="4" spans="1:8" ht="14.25" x14ac:dyDescent="0.2">
      <c r="A4" s="22" t="s">
        <v>77</v>
      </c>
      <c r="B4" s="14" t="s">
        <v>79</v>
      </c>
      <c r="C4" s="3" t="s">
        <v>17</v>
      </c>
      <c r="D4" s="4" t="s">
        <v>9</v>
      </c>
      <c r="E4" s="4" t="s">
        <v>86</v>
      </c>
      <c r="F4" s="3">
        <v>2</v>
      </c>
      <c r="G4" s="8">
        <v>176</v>
      </c>
      <c r="H4" s="9">
        <f t="shared" ref="H4:H51" si="0">F4*G4</f>
        <v>352</v>
      </c>
    </row>
    <row r="5" spans="1:8" x14ac:dyDescent="0.15">
      <c r="A5" s="22" t="s">
        <v>10</v>
      </c>
      <c r="B5" s="3" t="s">
        <v>80</v>
      </c>
      <c r="C5" s="3" t="s">
        <v>17</v>
      </c>
      <c r="D5" s="4" t="s">
        <v>11</v>
      </c>
      <c r="E5" s="4" t="s">
        <v>86</v>
      </c>
      <c r="F5" s="3">
        <v>1</v>
      </c>
      <c r="G5" s="8">
        <v>902</v>
      </c>
      <c r="H5" s="9">
        <f t="shared" si="0"/>
        <v>902</v>
      </c>
    </row>
    <row r="6" spans="1:8" x14ac:dyDescent="0.15">
      <c r="A6" s="22" t="s">
        <v>78</v>
      </c>
      <c r="B6" s="3" t="s">
        <v>81</v>
      </c>
      <c r="C6" s="3" t="s">
        <v>17</v>
      </c>
      <c r="D6" s="4" t="s">
        <v>11</v>
      </c>
      <c r="E6" s="3" t="s">
        <v>86</v>
      </c>
      <c r="F6" s="3">
        <v>2</v>
      </c>
      <c r="G6" s="8">
        <v>282</v>
      </c>
      <c r="H6" s="9">
        <f t="shared" si="0"/>
        <v>564</v>
      </c>
    </row>
    <row r="7" spans="1:8" x14ac:dyDescent="0.15">
      <c r="A7" s="22" t="s">
        <v>24</v>
      </c>
      <c r="B7" s="3" t="s">
        <v>82</v>
      </c>
      <c r="C7" s="3" t="s">
        <v>17</v>
      </c>
      <c r="D7" s="4" t="s">
        <v>25</v>
      </c>
      <c r="E7" s="3" t="s">
        <v>86</v>
      </c>
      <c r="F7" s="3">
        <v>2</v>
      </c>
      <c r="G7" s="8">
        <v>616</v>
      </c>
      <c r="H7" s="9">
        <f t="shared" si="0"/>
        <v>1232</v>
      </c>
    </row>
    <row r="8" spans="1:8" x14ac:dyDescent="0.15">
      <c r="A8" s="28" t="s">
        <v>149</v>
      </c>
      <c r="B8" s="3" t="s">
        <v>151</v>
      </c>
      <c r="C8" s="3" t="s">
        <v>17</v>
      </c>
      <c r="D8" s="4" t="s">
        <v>150</v>
      </c>
      <c r="E8" s="3" t="s">
        <v>152</v>
      </c>
      <c r="F8" s="3">
        <v>30</v>
      </c>
      <c r="G8" s="29">
        <v>48</v>
      </c>
      <c r="H8" s="9">
        <f t="shared" si="0"/>
        <v>1440</v>
      </c>
    </row>
    <row r="9" spans="1:8" x14ac:dyDescent="0.15">
      <c r="A9" s="22" t="s">
        <v>16</v>
      </c>
      <c r="B9" s="3" t="s">
        <v>75</v>
      </c>
      <c r="C9" s="3" t="s">
        <v>17</v>
      </c>
      <c r="D9" s="4" t="s">
        <v>15</v>
      </c>
      <c r="E9" s="3" t="s">
        <v>153</v>
      </c>
      <c r="F9" s="3">
        <v>1</v>
      </c>
      <c r="G9" s="8">
        <v>4676</v>
      </c>
      <c r="H9" s="9">
        <f t="shared" si="0"/>
        <v>4676</v>
      </c>
    </row>
    <row r="10" spans="1:8" x14ac:dyDescent="0.15">
      <c r="A10" s="22" t="s">
        <v>12</v>
      </c>
      <c r="B10" s="3" t="s">
        <v>13</v>
      </c>
      <c r="C10" s="3" t="s">
        <v>17</v>
      </c>
      <c r="D10" s="4" t="s">
        <v>14</v>
      </c>
      <c r="E10" s="3" t="s">
        <v>86</v>
      </c>
      <c r="F10" s="3">
        <v>16</v>
      </c>
      <c r="G10" s="8">
        <v>77</v>
      </c>
      <c r="H10" s="9">
        <f t="shared" si="0"/>
        <v>1232</v>
      </c>
    </row>
    <row r="11" spans="1:8" x14ac:dyDescent="0.15">
      <c r="A11" s="22" t="s">
        <v>74</v>
      </c>
      <c r="B11" s="3" t="s">
        <v>73</v>
      </c>
      <c r="C11" s="3" t="s">
        <v>17</v>
      </c>
      <c r="D11" s="4" t="s">
        <v>72</v>
      </c>
      <c r="E11" s="3" t="s">
        <v>86</v>
      </c>
      <c r="F11" s="3">
        <v>4</v>
      </c>
      <c r="G11" s="8">
        <v>73</v>
      </c>
      <c r="H11" s="9">
        <f t="shared" si="0"/>
        <v>292</v>
      </c>
    </row>
    <row r="12" spans="1:8" x14ac:dyDescent="0.15">
      <c r="A12" s="24" t="s">
        <v>65</v>
      </c>
      <c r="B12" s="3" t="s">
        <v>22</v>
      </c>
      <c r="C12" s="3" t="s">
        <v>19</v>
      </c>
      <c r="D12" s="4" t="s">
        <v>23</v>
      </c>
      <c r="E12" s="3" t="s">
        <v>154</v>
      </c>
      <c r="F12" s="3">
        <v>4</v>
      </c>
      <c r="G12" s="8">
        <v>152</v>
      </c>
      <c r="H12" s="9">
        <f t="shared" si="0"/>
        <v>608</v>
      </c>
    </row>
    <row r="13" spans="1:8" x14ac:dyDescent="0.15">
      <c r="A13" s="22"/>
      <c r="B13" s="3"/>
      <c r="C13" s="3"/>
      <c r="D13" s="4"/>
      <c r="E13" s="3"/>
      <c r="F13" s="3"/>
      <c r="G13" s="8"/>
      <c r="H13" s="9">
        <f t="shared" si="0"/>
        <v>0</v>
      </c>
    </row>
    <row r="14" spans="1:8" x14ac:dyDescent="0.15">
      <c r="A14" s="22" t="s">
        <v>18</v>
      </c>
      <c r="B14" s="3" t="s">
        <v>57</v>
      </c>
      <c r="C14" s="3" t="s">
        <v>17</v>
      </c>
      <c r="D14" s="4" t="s">
        <v>83</v>
      </c>
      <c r="E14" s="3" t="s">
        <v>88</v>
      </c>
      <c r="F14" s="3">
        <v>1</v>
      </c>
      <c r="G14" s="8">
        <v>23957</v>
      </c>
      <c r="H14" s="9">
        <f t="shared" si="0"/>
        <v>23957</v>
      </c>
    </row>
    <row r="15" spans="1:8" x14ac:dyDescent="0.15">
      <c r="A15" s="22" t="s">
        <v>20</v>
      </c>
      <c r="B15" s="17">
        <v>45522346</v>
      </c>
      <c r="C15" s="3" t="s">
        <v>19</v>
      </c>
      <c r="D15" s="4" t="s">
        <v>63</v>
      </c>
      <c r="E15" s="3" t="s">
        <v>89</v>
      </c>
      <c r="F15" s="3">
        <v>1</v>
      </c>
      <c r="G15" s="8">
        <v>571</v>
      </c>
      <c r="H15" s="9">
        <f t="shared" si="0"/>
        <v>571</v>
      </c>
    </row>
    <row r="16" spans="1:8" x14ac:dyDescent="0.15">
      <c r="A16" s="30" t="s">
        <v>21</v>
      </c>
      <c r="B16" s="17">
        <v>61730979</v>
      </c>
      <c r="C16" s="3" t="s">
        <v>19</v>
      </c>
      <c r="D16" s="4" t="s">
        <v>62</v>
      </c>
      <c r="E16" s="3" t="s">
        <v>155</v>
      </c>
      <c r="F16" s="3">
        <v>1</v>
      </c>
      <c r="G16" s="8">
        <v>2528</v>
      </c>
      <c r="H16" s="9">
        <f t="shared" si="0"/>
        <v>2528</v>
      </c>
    </row>
    <row r="17" spans="1:8" x14ac:dyDescent="0.15">
      <c r="A17" s="31" t="s">
        <v>90</v>
      </c>
      <c r="B17" s="3" t="s">
        <v>91</v>
      </c>
      <c r="C17" s="3" t="s">
        <v>92</v>
      </c>
      <c r="D17" s="4" t="s">
        <v>93</v>
      </c>
      <c r="E17" s="3" t="s">
        <v>94</v>
      </c>
      <c r="F17" s="3">
        <v>2</v>
      </c>
      <c r="G17" s="8">
        <v>8798</v>
      </c>
      <c r="H17" s="9">
        <f t="shared" si="0"/>
        <v>17596</v>
      </c>
    </row>
    <row r="18" spans="1:8" x14ac:dyDescent="0.15">
      <c r="A18" s="31"/>
      <c r="B18" s="3"/>
      <c r="C18" s="3"/>
      <c r="D18" s="4"/>
      <c r="E18" s="3"/>
      <c r="F18" s="3"/>
      <c r="G18" s="8"/>
      <c r="H18" s="9">
        <f t="shared" si="0"/>
        <v>0</v>
      </c>
    </row>
    <row r="19" spans="1:8" x14ac:dyDescent="0.15">
      <c r="A19" s="22" t="s">
        <v>35</v>
      </c>
      <c r="B19" s="3" t="s">
        <v>60</v>
      </c>
      <c r="C19" s="3" t="s">
        <v>59</v>
      </c>
      <c r="D19" s="4" t="s">
        <v>43</v>
      </c>
      <c r="E19" s="3" t="s">
        <v>86</v>
      </c>
      <c r="F19" s="3">
        <v>2</v>
      </c>
      <c r="G19" s="8">
        <v>1398</v>
      </c>
      <c r="H19" s="9">
        <f t="shared" si="0"/>
        <v>2796</v>
      </c>
    </row>
    <row r="20" spans="1:8" x14ac:dyDescent="0.15">
      <c r="A20" s="22" t="s">
        <v>58</v>
      </c>
      <c r="B20" s="18" t="s">
        <v>61</v>
      </c>
      <c r="C20" s="3" t="s">
        <v>59</v>
      </c>
      <c r="D20" s="20" t="s">
        <v>34</v>
      </c>
      <c r="E20" s="18" t="s">
        <v>86</v>
      </c>
      <c r="F20" s="18">
        <v>1</v>
      </c>
      <c r="G20" s="21">
        <v>2800</v>
      </c>
      <c r="H20" s="9">
        <f t="shared" si="0"/>
        <v>2800</v>
      </c>
    </row>
    <row r="21" spans="1:8" x14ac:dyDescent="0.15">
      <c r="A21" s="22" t="s">
        <v>26</v>
      </c>
      <c r="B21" s="3" t="s">
        <v>31</v>
      </c>
      <c r="C21" s="3" t="s">
        <v>17</v>
      </c>
      <c r="D21" s="4" t="s">
        <v>30</v>
      </c>
      <c r="E21" s="3" t="s">
        <v>87</v>
      </c>
      <c r="F21" s="3">
        <v>3</v>
      </c>
      <c r="G21" s="8">
        <v>1012</v>
      </c>
      <c r="H21" s="9">
        <f t="shared" si="0"/>
        <v>3036</v>
      </c>
    </row>
    <row r="22" spans="1:8" x14ac:dyDescent="0.15">
      <c r="A22" s="22" t="s">
        <v>29</v>
      </c>
      <c r="B22" s="3" t="s">
        <v>32</v>
      </c>
      <c r="C22" s="3" t="s">
        <v>17</v>
      </c>
      <c r="D22" s="4" t="s">
        <v>33</v>
      </c>
      <c r="E22" s="3" t="s">
        <v>86</v>
      </c>
      <c r="F22" s="3">
        <v>4</v>
      </c>
      <c r="G22" s="25">
        <v>1925</v>
      </c>
      <c r="H22" s="9">
        <f t="shared" si="0"/>
        <v>7700</v>
      </c>
    </row>
    <row r="23" spans="1:8" x14ac:dyDescent="0.15">
      <c r="A23" s="22" t="s">
        <v>66</v>
      </c>
      <c r="B23" s="3" t="s">
        <v>67</v>
      </c>
      <c r="C23" s="3" t="s">
        <v>17</v>
      </c>
      <c r="D23" s="4" t="s">
        <v>68</v>
      </c>
      <c r="E23" s="3" t="s">
        <v>86</v>
      </c>
      <c r="F23" s="3">
        <v>2</v>
      </c>
      <c r="G23" s="25">
        <v>1177</v>
      </c>
      <c r="H23" s="9">
        <f t="shared" si="0"/>
        <v>2354</v>
      </c>
    </row>
    <row r="24" spans="1:8" x14ac:dyDescent="0.15">
      <c r="A24" s="22"/>
      <c r="B24" s="3"/>
      <c r="C24" s="3"/>
      <c r="D24" s="4"/>
      <c r="E24" s="3"/>
      <c r="F24" s="3"/>
      <c r="G24" s="16"/>
      <c r="H24" s="9">
        <f t="shared" si="0"/>
        <v>0</v>
      </c>
    </row>
    <row r="25" spans="1:8" x14ac:dyDescent="0.15">
      <c r="A25" s="22" t="s">
        <v>27</v>
      </c>
      <c r="B25" s="3" t="s">
        <v>69</v>
      </c>
      <c r="C25" s="3" t="s">
        <v>17</v>
      </c>
      <c r="D25" s="4" t="s">
        <v>40</v>
      </c>
      <c r="E25" s="3" t="s">
        <v>86</v>
      </c>
      <c r="F25" s="3">
        <v>1</v>
      </c>
      <c r="G25" s="8">
        <v>4741</v>
      </c>
      <c r="H25" s="9">
        <f t="shared" si="0"/>
        <v>4741</v>
      </c>
    </row>
    <row r="26" spans="1:8" x14ac:dyDescent="0.15">
      <c r="A26" s="23" t="s">
        <v>39</v>
      </c>
      <c r="B26" s="18" t="s">
        <v>38</v>
      </c>
      <c r="C26" s="3" t="s">
        <v>17</v>
      </c>
      <c r="D26" s="20" t="s">
        <v>44</v>
      </c>
      <c r="E26" s="18" t="s">
        <v>86</v>
      </c>
      <c r="F26" s="18">
        <v>4</v>
      </c>
      <c r="G26" s="19">
        <v>128</v>
      </c>
      <c r="H26" s="9">
        <f t="shared" si="0"/>
        <v>512</v>
      </c>
    </row>
    <row r="27" spans="1:8" x14ac:dyDescent="0.15">
      <c r="A27" s="22" t="s">
        <v>70</v>
      </c>
      <c r="B27" s="3" t="s">
        <v>71</v>
      </c>
      <c r="C27" s="3" t="s">
        <v>17</v>
      </c>
      <c r="D27" s="4" t="s">
        <v>85</v>
      </c>
      <c r="E27" s="3" t="s">
        <v>86</v>
      </c>
      <c r="F27" s="3">
        <v>1</v>
      </c>
      <c r="G27" s="25">
        <v>2618</v>
      </c>
      <c r="H27" s="9">
        <f t="shared" si="0"/>
        <v>2618</v>
      </c>
    </row>
    <row r="28" spans="1:8" x14ac:dyDescent="0.15">
      <c r="A28" s="22" t="s">
        <v>28</v>
      </c>
      <c r="B28" s="3" t="s">
        <v>36</v>
      </c>
      <c r="C28" s="3" t="s">
        <v>17</v>
      </c>
      <c r="D28" s="4" t="s">
        <v>41</v>
      </c>
      <c r="E28" s="3" t="s">
        <v>86</v>
      </c>
      <c r="F28" s="3">
        <v>2</v>
      </c>
      <c r="G28" s="8">
        <v>9526</v>
      </c>
      <c r="H28" s="9">
        <f t="shared" si="0"/>
        <v>19052</v>
      </c>
    </row>
    <row r="29" spans="1:8" x14ac:dyDescent="0.15">
      <c r="A29" s="22" t="s">
        <v>28</v>
      </c>
      <c r="B29" s="3" t="s">
        <v>37</v>
      </c>
      <c r="C29" s="3" t="s">
        <v>17</v>
      </c>
      <c r="D29" s="4" t="s">
        <v>42</v>
      </c>
      <c r="E29" s="3" t="s">
        <v>86</v>
      </c>
      <c r="F29" s="3">
        <v>1</v>
      </c>
      <c r="G29" s="8">
        <v>12254</v>
      </c>
      <c r="H29" s="9">
        <f t="shared" si="0"/>
        <v>12254</v>
      </c>
    </row>
    <row r="30" spans="1:8" x14ac:dyDescent="0.15">
      <c r="A30" t="s">
        <v>124</v>
      </c>
      <c r="B30" s="27" t="s">
        <v>123</v>
      </c>
      <c r="C30" s="18" t="s">
        <v>17</v>
      </c>
      <c r="D30" s="2" t="s">
        <v>125</v>
      </c>
      <c r="E30" s="27" t="s">
        <v>121</v>
      </c>
      <c r="F30" s="27">
        <v>1</v>
      </c>
      <c r="G30" s="25">
        <v>2613</v>
      </c>
      <c r="H30" s="9">
        <f t="shared" si="0"/>
        <v>2613</v>
      </c>
    </row>
    <row r="31" spans="1:8" x14ac:dyDescent="0.15">
      <c r="A31" s="3"/>
      <c r="B31" s="3"/>
      <c r="C31" s="3"/>
      <c r="D31" s="3"/>
      <c r="E31" s="3"/>
      <c r="F31" s="3"/>
      <c r="H31" s="9">
        <f t="shared" si="0"/>
        <v>0</v>
      </c>
    </row>
    <row r="32" spans="1:8" x14ac:dyDescent="0.15">
      <c r="A32" t="s">
        <v>131</v>
      </c>
      <c r="B32" s="37" t="s">
        <v>132</v>
      </c>
      <c r="C32" t="s">
        <v>133</v>
      </c>
      <c r="D32" s="38" t="s">
        <v>134</v>
      </c>
      <c r="E32" s="37" t="s">
        <v>135</v>
      </c>
      <c r="F32" s="37">
        <v>1</v>
      </c>
      <c r="G32" s="8">
        <v>39578</v>
      </c>
      <c r="H32" s="9">
        <f t="shared" si="0"/>
        <v>39578</v>
      </c>
    </row>
    <row r="33" spans="1:8" x14ac:dyDescent="0.15">
      <c r="A33" s="26"/>
      <c r="B33" s="18"/>
      <c r="C33" s="3"/>
      <c r="D33" s="20"/>
      <c r="E33" s="18" t="s">
        <v>86</v>
      </c>
      <c r="F33" s="18"/>
      <c r="G33" s="19"/>
      <c r="H33" s="9">
        <f t="shared" si="0"/>
        <v>0</v>
      </c>
    </row>
    <row r="34" spans="1:8" x14ac:dyDescent="0.15">
      <c r="A34" s="28" t="s">
        <v>45</v>
      </c>
      <c r="B34" s="3" t="s">
        <v>162</v>
      </c>
      <c r="C34" s="3" t="s">
        <v>46</v>
      </c>
      <c r="D34" s="4" t="s">
        <v>163</v>
      </c>
      <c r="E34" s="3" t="s">
        <v>164</v>
      </c>
      <c r="F34" s="3">
        <v>6</v>
      </c>
      <c r="G34" s="8">
        <v>296</v>
      </c>
      <c r="H34" s="9">
        <f t="shared" si="0"/>
        <v>1776</v>
      </c>
    </row>
    <row r="35" spans="1:8" x14ac:dyDescent="0.15">
      <c r="A35" s="26"/>
      <c r="B35" s="18"/>
      <c r="C35" s="3"/>
      <c r="D35" s="20"/>
      <c r="E35" s="18"/>
      <c r="F35" s="18"/>
      <c r="G35" s="19"/>
      <c r="H35" s="9">
        <f t="shared" si="0"/>
        <v>0</v>
      </c>
    </row>
    <row r="36" spans="1:8" x14ac:dyDescent="0.15">
      <c r="A36" s="23" t="s">
        <v>47</v>
      </c>
      <c r="B36" s="18" t="s">
        <v>48</v>
      </c>
      <c r="C36" s="3" t="s">
        <v>17</v>
      </c>
      <c r="D36" s="20" t="s">
        <v>50</v>
      </c>
      <c r="E36" s="18" t="s">
        <v>52</v>
      </c>
      <c r="F36" s="18">
        <v>1</v>
      </c>
      <c r="G36" s="19">
        <v>847</v>
      </c>
      <c r="H36" s="9">
        <f t="shared" si="0"/>
        <v>847</v>
      </c>
    </row>
    <row r="37" spans="1:8" x14ac:dyDescent="0.15">
      <c r="A37" s="23" t="s">
        <v>47</v>
      </c>
      <c r="B37" s="18" t="s">
        <v>51</v>
      </c>
      <c r="C37" s="3" t="s">
        <v>17</v>
      </c>
      <c r="D37" s="20" t="s">
        <v>49</v>
      </c>
      <c r="E37" s="18" t="s">
        <v>53</v>
      </c>
      <c r="F37" s="18">
        <v>1</v>
      </c>
      <c r="G37" s="19">
        <v>880</v>
      </c>
      <c r="H37" s="9">
        <f t="shared" si="0"/>
        <v>880</v>
      </c>
    </row>
    <row r="38" spans="1:8" x14ac:dyDescent="0.15">
      <c r="A38" s="23"/>
      <c r="B38" s="18"/>
      <c r="C38" s="3"/>
      <c r="D38" s="20"/>
      <c r="E38" s="18"/>
      <c r="F38" s="18"/>
      <c r="G38" s="19"/>
      <c r="H38" s="9">
        <f t="shared" si="0"/>
        <v>0</v>
      </c>
    </row>
    <row r="39" spans="1:8" x14ac:dyDescent="0.15">
      <c r="A39" s="23" t="s">
        <v>56</v>
      </c>
      <c r="B39" s="18" t="s">
        <v>54</v>
      </c>
      <c r="C39" s="3" t="s">
        <v>55</v>
      </c>
      <c r="D39" s="20" t="s">
        <v>64</v>
      </c>
      <c r="E39" s="18" t="s">
        <v>145</v>
      </c>
      <c r="F39" s="18">
        <v>3</v>
      </c>
      <c r="G39" s="21">
        <v>31504</v>
      </c>
      <c r="H39" s="9">
        <f t="shared" si="0"/>
        <v>94512</v>
      </c>
    </row>
    <row r="40" spans="1:8" x14ac:dyDescent="0.15">
      <c r="A40" s="23" t="s">
        <v>137</v>
      </c>
      <c r="B40" s="18"/>
      <c r="C40" s="3" t="s">
        <v>55</v>
      </c>
      <c r="D40" s="20" t="s">
        <v>136</v>
      </c>
      <c r="E40" s="18" t="s">
        <v>146</v>
      </c>
      <c r="F40" s="18">
        <v>1</v>
      </c>
      <c r="G40" s="21">
        <v>5918</v>
      </c>
      <c r="H40" s="9">
        <f t="shared" si="0"/>
        <v>5918</v>
      </c>
    </row>
    <row r="41" spans="1:8" x14ac:dyDescent="0.15">
      <c r="A41" s="23" t="s">
        <v>168</v>
      </c>
      <c r="B41" s="18"/>
      <c r="C41" s="3" t="s">
        <v>55</v>
      </c>
      <c r="D41" s="20" t="s">
        <v>139</v>
      </c>
      <c r="E41" s="18" t="s">
        <v>121</v>
      </c>
      <c r="F41" s="3">
        <v>1</v>
      </c>
      <c r="G41" s="21">
        <v>1122</v>
      </c>
      <c r="H41" s="9">
        <f t="shared" si="0"/>
        <v>1122</v>
      </c>
    </row>
    <row r="42" spans="1:8" x14ac:dyDescent="0.15">
      <c r="A42" s="23" t="s">
        <v>138</v>
      </c>
      <c r="B42" s="18"/>
      <c r="C42" s="3" t="s">
        <v>55</v>
      </c>
      <c r="D42" s="20" t="s">
        <v>140</v>
      </c>
      <c r="E42" s="18" t="s">
        <v>121</v>
      </c>
      <c r="F42" s="18">
        <v>1</v>
      </c>
      <c r="G42" s="21">
        <v>6963</v>
      </c>
      <c r="H42" s="9">
        <f t="shared" si="0"/>
        <v>6963</v>
      </c>
    </row>
    <row r="43" spans="1:8" x14ac:dyDescent="0.15">
      <c r="A43" s="23" t="s">
        <v>141</v>
      </c>
      <c r="B43" s="18"/>
      <c r="C43" s="3" t="s">
        <v>55</v>
      </c>
      <c r="D43" s="20" t="s">
        <v>142</v>
      </c>
      <c r="E43" s="18" t="s">
        <v>147</v>
      </c>
      <c r="F43" s="18">
        <v>1</v>
      </c>
      <c r="G43" s="21">
        <v>1683</v>
      </c>
      <c r="H43" s="9">
        <f t="shared" si="0"/>
        <v>1683</v>
      </c>
    </row>
    <row r="44" spans="1:8" x14ac:dyDescent="0.15">
      <c r="A44" s="32" t="s">
        <v>143</v>
      </c>
      <c r="B44" s="18"/>
      <c r="C44" s="3" t="s">
        <v>55</v>
      </c>
      <c r="D44" s="20" t="s">
        <v>144</v>
      </c>
      <c r="E44" s="18" t="s">
        <v>148</v>
      </c>
      <c r="F44" s="18">
        <v>1</v>
      </c>
      <c r="G44" s="33">
        <v>1936</v>
      </c>
      <c r="H44" s="9">
        <f t="shared" si="0"/>
        <v>1936</v>
      </c>
    </row>
    <row r="45" spans="1:8" x14ac:dyDescent="0.15">
      <c r="A45" s="34"/>
      <c r="B45" s="18"/>
      <c r="C45" s="3"/>
      <c r="D45" s="20"/>
      <c r="E45" s="18"/>
      <c r="F45" s="18"/>
      <c r="G45" s="33"/>
      <c r="H45" s="9">
        <f t="shared" si="0"/>
        <v>0</v>
      </c>
    </row>
    <row r="46" spans="1:8" x14ac:dyDescent="0.15">
      <c r="A46" s="3" t="s">
        <v>126</v>
      </c>
      <c r="B46" s="3" t="s">
        <v>127</v>
      </c>
      <c r="C46" s="3" t="s">
        <v>128</v>
      </c>
      <c r="D46" s="4" t="s">
        <v>129</v>
      </c>
      <c r="E46" s="3" t="s">
        <v>130</v>
      </c>
      <c r="F46" s="3">
        <v>1</v>
      </c>
      <c r="G46" s="25">
        <v>1180</v>
      </c>
      <c r="H46" s="9">
        <f t="shared" si="0"/>
        <v>1180</v>
      </c>
    </row>
    <row r="47" spans="1:8" x14ac:dyDescent="0.15">
      <c r="A47" s="3" t="s">
        <v>166</v>
      </c>
      <c r="B47" s="3"/>
      <c r="C47" s="3"/>
      <c r="D47" s="4"/>
      <c r="E47" s="3" t="s">
        <v>167</v>
      </c>
      <c r="F47" s="18">
        <v>1</v>
      </c>
      <c r="G47" s="25">
        <v>2000</v>
      </c>
      <c r="H47" s="9">
        <f t="shared" si="0"/>
        <v>2000</v>
      </c>
    </row>
    <row r="48" spans="1:8" x14ac:dyDescent="0.15">
      <c r="A48" s="3"/>
      <c r="B48" s="3"/>
      <c r="C48" s="3"/>
      <c r="D48" s="4"/>
      <c r="E48" s="3"/>
      <c r="F48" s="18"/>
      <c r="G48" s="35"/>
      <c r="H48" s="9">
        <f t="shared" si="0"/>
        <v>0</v>
      </c>
    </row>
    <row r="49" spans="1:8" x14ac:dyDescent="0.15">
      <c r="A49" s="3" t="s">
        <v>159</v>
      </c>
      <c r="B49" s="3" t="s">
        <v>156</v>
      </c>
      <c r="C49" s="3" t="s">
        <v>157</v>
      </c>
      <c r="D49" s="4" t="s">
        <v>158</v>
      </c>
      <c r="E49" s="3"/>
      <c r="F49" s="18">
        <v>1</v>
      </c>
      <c r="G49" s="25">
        <v>678700</v>
      </c>
      <c r="H49" s="9">
        <f t="shared" si="0"/>
        <v>678700</v>
      </c>
    </row>
    <row r="50" spans="1:8" x14ac:dyDescent="0.15">
      <c r="A50" s="3" t="s">
        <v>160</v>
      </c>
      <c r="B50" s="3"/>
      <c r="C50" s="3" t="s">
        <v>157</v>
      </c>
      <c r="D50" s="4"/>
      <c r="E50" s="3" t="s">
        <v>161</v>
      </c>
      <c r="F50" s="3">
        <v>1</v>
      </c>
      <c r="G50" s="36">
        <v>100000</v>
      </c>
      <c r="H50" s="9">
        <f t="shared" si="0"/>
        <v>100000</v>
      </c>
    </row>
    <row r="51" spans="1:8" ht="14.25" thickBot="1" x14ac:dyDescent="0.2">
      <c r="A51" s="11"/>
      <c r="B51" s="12"/>
      <c r="C51" s="12"/>
      <c r="D51" s="12"/>
      <c r="E51" s="12"/>
      <c r="F51" s="12"/>
      <c r="G51" s="13"/>
      <c r="H51" s="9">
        <f t="shared" si="0"/>
        <v>0</v>
      </c>
    </row>
    <row r="52" spans="1:8" ht="14.25" thickBot="1" x14ac:dyDescent="0.2">
      <c r="D52" s="2"/>
      <c r="G52" s="10" t="s">
        <v>5</v>
      </c>
      <c r="H52" s="15">
        <f>SUM(H3:H51)</f>
        <v>1054313</v>
      </c>
    </row>
    <row r="54" spans="1:8" ht="14.25" thickBot="1" x14ac:dyDescent="0.2">
      <c r="A54" t="s">
        <v>97</v>
      </c>
    </row>
    <row r="55" spans="1:8" x14ac:dyDescent="0.15">
      <c r="A55" s="41" t="s">
        <v>95</v>
      </c>
      <c r="B55" s="42"/>
      <c r="C55" s="42"/>
      <c r="D55" s="43"/>
    </row>
    <row r="56" spans="1:8" x14ac:dyDescent="0.15">
      <c r="A56" s="28" t="s">
        <v>96</v>
      </c>
      <c r="B56" s="40">
        <v>2</v>
      </c>
      <c r="C56" s="3"/>
      <c r="D56" s="44"/>
    </row>
    <row r="57" spans="1:8" ht="14.25" x14ac:dyDescent="0.15">
      <c r="A57" s="45" t="s">
        <v>98</v>
      </c>
      <c r="B57" s="40" t="s">
        <v>99</v>
      </c>
      <c r="C57" s="3" t="s">
        <v>100</v>
      </c>
      <c r="D57" s="44" t="s">
        <v>86</v>
      </c>
    </row>
    <row r="58" spans="1:8" x14ac:dyDescent="0.15">
      <c r="A58" s="28" t="s">
        <v>101</v>
      </c>
      <c r="B58" s="40"/>
      <c r="C58" s="3"/>
      <c r="D58" s="44"/>
    </row>
    <row r="59" spans="1:8" x14ac:dyDescent="0.15">
      <c r="A59" s="28" t="s">
        <v>102</v>
      </c>
      <c r="B59" s="40"/>
      <c r="C59" s="3"/>
      <c r="D59" s="44"/>
    </row>
    <row r="60" spans="1:8" x14ac:dyDescent="0.15">
      <c r="A60" s="28" t="s">
        <v>103</v>
      </c>
      <c r="B60" s="40"/>
      <c r="C60" s="3"/>
      <c r="D60" s="44"/>
    </row>
    <row r="61" spans="1:8" x14ac:dyDescent="0.15">
      <c r="A61" s="28" t="s">
        <v>104</v>
      </c>
      <c r="B61" s="40"/>
      <c r="C61" s="3"/>
      <c r="D61" s="44"/>
    </row>
    <row r="62" spans="1:8" x14ac:dyDescent="0.15">
      <c r="A62" s="28" t="s">
        <v>105</v>
      </c>
      <c r="B62" s="40">
        <v>2</v>
      </c>
      <c r="C62" s="3"/>
      <c r="D62" s="44"/>
    </row>
    <row r="63" spans="1:8" x14ac:dyDescent="0.15">
      <c r="A63" s="28" t="s">
        <v>106</v>
      </c>
      <c r="B63" s="40"/>
      <c r="C63" s="3"/>
      <c r="D63" s="44"/>
    </row>
    <row r="64" spans="1:8" x14ac:dyDescent="0.15">
      <c r="A64" s="28" t="s">
        <v>107</v>
      </c>
      <c r="B64" s="40"/>
      <c r="C64" s="3"/>
      <c r="D64" s="44"/>
    </row>
    <row r="65" spans="1:4" x14ac:dyDescent="0.15">
      <c r="A65" s="28" t="s">
        <v>108</v>
      </c>
      <c r="B65" s="40"/>
      <c r="C65" s="3"/>
      <c r="D65" s="44"/>
    </row>
    <row r="66" spans="1:4" x14ac:dyDescent="0.15">
      <c r="A66" s="28" t="s">
        <v>109</v>
      </c>
      <c r="B66" s="40"/>
      <c r="C66" s="3"/>
      <c r="D66" s="44"/>
    </row>
    <row r="67" spans="1:4" x14ac:dyDescent="0.15">
      <c r="A67" s="28" t="s">
        <v>110</v>
      </c>
      <c r="B67" s="40"/>
      <c r="C67" s="3"/>
      <c r="D67" s="44"/>
    </row>
    <row r="68" spans="1:4" x14ac:dyDescent="0.15">
      <c r="A68" s="28" t="s">
        <v>111</v>
      </c>
      <c r="B68" s="40"/>
      <c r="C68" s="3" t="s">
        <v>112</v>
      </c>
      <c r="D68" s="44"/>
    </row>
    <row r="69" spans="1:4" x14ac:dyDescent="0.15">
      <c r="A69" s="28" t="s">
        <v>113</v>
      </c>
      <c r="B69" s="40"/>
      <c r="C69" s="3"/>
      <c r="D69" s="44"/>
    </row>
    <row r="70" spans="1:4" x14ac:dyDescent="0.15">
      <c r="A70" s="28" t="s">
        <v>114</v>
      </c>
      <c r="B70" s="40"/>
      <c r="C70" s="3"/>
      <c r="D70" s="44"/>
    </row>
    <row r="71" spans="1:4" x14ac:dyDescent="0.15">
      <c r="A71" s="28" t="s">
        <v>115</v>
      </c>
      <c r="B71" s="40"/>
      <c r="C71" s="3"/>
      <c r="D71" s="44"/>
    </row>
    <row r="72" spans="1:4" x14ac:dyDescent="0.15">
      <c r="A72" s="28" t="s">
        <v>116</v>
      </c>
      <c r="B72" s="40"/>
      <c r="C72" s="3"/>
      <c r="D72" s="44"/>
    </row>
    <row r="73" spans="1:4" x14ac:dyDescent="0.15">
      <c r="A73" s="28" t="s">
        <v>117</v>
      </c>
      <c r="B73" s="40"/>
      <c r="C73" s="3"/>
      <c r="D73" s="44"/>
    </row>
    <row r="74" spans="1:4" x14ac:dyDescent="0.15">
      <c r="A74" s="28" t="s">
        <v>118</v>
      </c>
      <c r="B74" s="40"/>
      <c r="C74" s="3"/>
      <c r="D74" s="44"/>
    </row>
    <row r="75" spans="1:4" ht="14.25" thickBot="1" x14ac:dyDescent="0.2">
      <c r="A75" s="11" t="s">
        <v>119</v>
      </c>
      <c r="B75" s="46" t="s">
        <v>120</v>
      </c>
      <c r="C75" s="12" t="s">
        <v>165</v>
      </c>
      <c r="D75" s="47" t="s">
        <v>86</v>
      </c>
    </row>
    <row r="76" spans="1:4" x14ac:dyDescent="0.15">
      <c r="B76" s="39"/>
    </row>
  </sheetData>
  <phoneticPr fontId="1"/>
  <hyperlinks>
    <hyperlink ref="D10" r:id="rId1" xr:uid="{3BB9D4A3-1B06-44A6-99C6-1C835F9FEBD3}"/>
    <hyperlink ref="D9" r:id="rId2" xr:uid="{32DE9AD7-8EEA-4AAF-9078-3F54C6D3E301}"/>
    <hyperlink ref="D21" r:id="rId3" xr:uid="{4DEF20FF-5E2D-4165-8F13-AF5F147A1F04}"/>
    <hyperlink ref="D22" r:id="rId4" xr:uid="{7B097DD2-5E17-4371-8284-7C312F4461DA}"/>
    <hyperlink ref="D25" r:id="rId5" xr:uid="{A068D333-60FD-4F1F-8851-6EED176602A4}"/>
    <hyperlink ref="D28" r:id="rId6" xr:uid="{013EF736-8005-41D2-A374-4E4916F8555D}"/>
    <hyperlink ref="D29" r:id="rId7" xr:uid="{8A228465-D69D-41AC-8293-FA42B8F9E200}"/>
    <hyperlink ref="D19" r:id="rId8" location="detail-review-381b17e4-0b9b-4e68-b660-b16ed2681fff" xr:uid="{6F69B266-A93E-4AF8-935E-76B6DEA5B46C}"/>
    <hyperlink ref="D26" r:id="rId9" xr:uid="{3DFD42F5-C7E6-4919-8821-886D05C8FE35}"/>
    <hyperlink ref="D36" r:id="rId10" xr:uid="{F4A8B959-6C08-4969-8B13-215FEDEDC7C0}"/>
    <hyperlink ref="D16" r:id="rId11" xr:uid="{5C6C2E2C-70B5-435C-9469-D4E6FBEB56A0}"/>
    <hyperlink ref="D15" r:id="rId12" xr:uid="{A9BAB3DE-079A-40B0-8D46-A26AE88BE645}"/>
    <hyperlink ref="D39" r:id="rId13" xr:uid="{1A693A3E-2BCC-4DCC-9A64-7C80BC6685C8}"/>
    <hyperlink ref="D11" r:id="rId14" display="https://jp.misumi-ec.com/vona2/detail/110300438930/?KWSearch=%E3%82%A2%E3%83%AB%E3%83%9F%E3%83%95%E3%83%AC%E3%83%BC%E3%83%A0+%E3%83%96%E3%83%A9%E3%82%B1%E3%83%83%E3%83%88&amp;searchFlow=results2products&amp;Brand=MSM1&amp;CategorySpec=00000191172%3A%3Ab%0900000191176%3A%3Ab%0900000191187%3A%3Aa%09SP100558806%3A%3Ac&amp;searchCategorySpec=11" xr:uid="{A57E71D3-37F6-4727-A2A0-CC4BA98EECF4}"/>
    <hyperlink ref="D14" r:id="rId15" xr:uid="{61320DE2-A1FB-40D0-8D4B-001C76264AEB}"/>
    <hyperlink ref="D12" r:id="rId16" location="op_365=33&amp;from=search" xr:uid="{38FBF0A6-3BAA-42C4-8F6E-F8E7D97C7AB4}"/>
    <hyperlink ref="D27" r:id="rId17" xr:uid="{AC79B48F-CB4A-4F2F-AE56-C9800394B1CB}"/>
    <hyperlink ref="D30" r:id="rId18" xr:uid="{0A8A7A9E-B736-400F-A717-AE0AA3964A78}"/>
    <hyperlink ref="D46" r:id="rId19" xr:uid="{C1FB6B48-C020-4C3F-AADD-6424C1046862}"/>
    <hyperlink ref="D32" r:id="rId20" xr:uid="{0888110F-416D-4BAC-B1A3-EFAE730D449B}"/>
    <hyperlink ref="D40" r:id="rId21" xr:uid="{5BBF5347-0072-416B-88E4-8DEBFCBA679C}"/>
    <hyperlink ref="D8" r:id="rId22" display="https://jp.misumi-ec.com/vona2/detail/110300461850/?KWSearch=%EF%BC%95%E3%82%B7%E3%83%AA%E3%83%BC%E3%82%BA%EF%BC%88%E6%BA%9D%E5%B9%85%EF%BC%96%EF%BD%8D%EF%BD%8D%EF%BC%89%E7%94%A8+%E3%82%A2%E3%83%AB%E3%83%9F%E3%83%95%E3%83%AC%E3%83%BC%E3%83%A0%E3%83%8A%E3%83%83%E3%83%88&amp;searchFlow=results2products&amp;searchCategorySpec=00" xr:uid="{B61C8DA6-FF23-4AF8-9F5E-61A39A3F950C}"/>
    <hyperlink ref="D34" r:id="rId23" xr:uid="{FBC0B36A-8588-4546-ADEE-46570DDF43B1}"/>
  </hyperlinks>
  <pageMargins left="0.7" right="0.7" top="0.75" bottom="0.75" header="0.3" footer="0.3"/>
  <pageSetup paperSize="9" orientation="portrait" horizontalDpi="300" verticalDpi="300" r:id="rId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2026-06-27T12:13:53Z</dcterms:modified>
</cp:coreProperties>
</file>